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nologyDrive\Work\Work\3. KETG\2025\2508 폐어구 무인반납\폐자망 시작\압축기 PLC 연동\"/>
    </mc:Choice>
  </mc:AlternateContent>
  <xr:revisionPtr revIDLastSave="0" documentId="13_ncr:1_{93EDE484-2440-4ADA-80ED-C210A976C93D}" xr6:coauthVersionLast="47" xr6:coauthVersionMax="47" xr10:uidLastSave="{00000000-0000-0000-0000-000000000000}"/>
  <bookViews>
    <workbookView xWindow="12870" yWindow="0" windowWidth="38835" windowHeight="20985" xr2:uid="{AAB11989-78A1-4E1B-8920-79B5F909747F}"/>
  </bookViews>
  <sheets>
    <sheet name="260130 pl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14" i="2"/>
  <c r="D14" i="2" s="1"/>
  <c r="E13" i="2"/>
  <c r="E12" i="2"/>
  <c r="E11" i="2"/>
  <c r="E10" i="2"/>
  <c r="E9" i="2"/>
  <c r="E8" i="2"/>
  <c r="D15" i="2"/>
  <c r="D13" i="2"/>
  <c r="D12" i="2"/>
  <c r="D11" i="2"/>
  <c r="D10" i="2"/>
  <c r="D9" i="2"/>
  <c r="D8" i="2"/>
  <c r="D7" i="2"/>
  <c r="D6" i="2"/>
  <c r="D5" i="2"/>
  <c r="D4" i="2"/>
  <c r="D3" i="2"/>
  <c r="D2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<sst xmlns="http://schemas.openxmlformats.org/spreadsheetml/2006/main" count="92" uniqueCount="49">
  <si>
    <t>DataType</t>
  </si>
  <si>
    <t>Comment</t>
  </si>
  <si>
    <t>BIT</t>
  </si>
  <si>
    <t>M00101</t>
  </si>
  <si>
    <t>M00102</t>
  </si>
  <si>
    <t>M00053</t>
  </si>
  <si>
    <t>M00055</t>
  </si>
  <si>
    <t>M00058</t>
  </si>
  <si>
    <t>M00057</t>
  </si>
  <si>
    <t>M00100</t>
  </si>
  <si>
    <t>M00061</t>
  </si>
  <si>
    <t>M00063</t>
  </si>
  <si>
    <t>M00064</t>
  </si>
  <si>
    <t>M00065</t>
  </si>
  <si>
    <t>Modbus Type</t>
  </si>
  <si>
    <t>0x (Coil)</t>
  </si>
  <si>
    <t>M00068</t>
  </si>
  <si>
    <t>M00069</t>
  </si>
  <si>
    <t>Index</t>
  </si>
  <si>
    <t>PLC Address</t>
  </si>
  <si>
    <t>Modbus Address for PC (0base)</t>
  </si>
  <si>
    <t>Modbus Address (1base)</t>
  </si>
  <si>
    <t>Desc.</t>
  </si>
  <si>
    <t>바코드함 열림/닫힘</t>
  </si>
  <si>
    <t>폐어구 투입구 열림/닫힘</t>
  </si>
  <si>
    <t>열림 1, 닫힘 0</t>
  </si>
  <si>
    <t>만재시 1, 반드시 수거 작업완료 후 0으로 리셋 해야 함</t>
  </si>
  <si>
    <t>후문 열림 알림</t>
  </si>
  <si>
    <t>정문 열림 알림</t>
  </si>
  <si>
    <t>비상시 1, 정상 0</t>
  </si>
  <si>
    <t>만재1, 그 외 0</t>
  </si>
  <si>
    <t>제어</t>
  </si>
  <si>
    <t>알림</t>
  </si>
  <si>
    <t>MessageType</t>
  </si>
  <si>
    <t>기계 장치(압축기) 오류 알림</t>
  </si>
  <si>
    <t>오류 1, 정상 0</t>
  </si>
  <si>
    <t>암롤박스 만재(전체) 알림</t>
  </si>
  <si>
    <t>암롤박스 만재(후문쪽) 알림</t>
  </si>
  <si>
    <t>암롤박스 만재(가운데) 알림</t>
  </si>
  <si>
    <t>암롤박스 만재(정문쪽) 알림</t>
  </si>
  <si>
    <t>유압모드 ON/OFF</t>
  </si>
  <si>
    <t>압축기 동작 명령</t>
  </si>
  <si>
    <t>압축기 동작 완료 (1 사이클 동작 완료)</t>
  </si>
  <si>
    <t>완료 1, 대기 0</t>
  </si>
  <si>
    <t>- 실린더가 상승 했다가 약 1초후 하강하는 1회 사이클 동작
- 1로 설정 후, 일정 시간 뒤 PC에서 다시 0으로 변경해야 하는지 확인 필요</t>
  </si>
  <si>
    <t>ON 1, OFF 0</t>
  </si>
  <si>
    <t>비상 신호(위험 상황)</t>
  </si>
  <si>
    <t>-</t>
  </si>
  <si>
    <t>M00070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</si>
</sst>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11"/>
      <name val="Aptos Narrow"/>
      <family val="2"/>
      <charset val="129"/>
      <scheme val="minor"/>
    </font>
    <font>
      <sz val="11"/>
      <color rgb="FFC00000"/>
      <name val="Aptos Narrow"/>
      <family val="2"/>
      <charset val="129"/>
      <scheme val="minor"/>
    </font>
    <font>
      <b/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8"/>
      <name val="Aptos Narrow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18" fillId="33" borderId="10" xfId="0" applyFont="1" applyFill="1" applyBorder="1" applyAlignment="1">
      <alignment vertical="center"/>
    </xf>
    <xf numFmtId="0" fontId="19" fillId="33" borderId="10" xfId="0" applyFont="1" applyFill="1" applyBorder="1" applyAlignment="1">
      <alignment vertical="center"/>
    </xf>
    <xf numFmtId="0" fontId="18" fillId="33" borderId="0" xfId="0" applyFont="1" applyFill="1" applyAlignment="1">
      <alignment vertical="center"/>
    </xf>
    <xf numFmtId="0" fontId="18" fillId="33" borderId="10" xfId="0" quotePrefix="1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/>
    </xf>
    <xf numFmtId="0" fontId="19" fillId="34" borderId="10" xfId="0" applyFont="1" applyFill="1" applyBorder="1" applyAlignment="1">
      <alignment vertical="center"/>
    </xf>
    <xf numFmtId="0" fontId="18" fillId="34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06D7-FF76-4F04-BE94-E2359086974B}">
  <dimension ref="A1:I15"/>
  <sheetViews>
    <sheetView tabSelected="1" zoomScale="145" zoomScaleNormal="145" workbookViewId="0">
      <selection activeCell="H20" sqref="H20"/>
    </sheetView>
  </sheetViews>
  <sheetFormatPr defaultColWidth="8.75" defaultRowHeight="13.5" x14ac:dyDescent="0.15"/>
  <cols>
    <col min="1" max="1" width="8.75" style="2"/>
    <col min="2" max="2" width="12.625" style="2" bestFit="1" customWidth="1"/>
    <col min="3" max="3" width="13.125" style="2" bestFit="1" customWidth="1"/>
    <col min="4" max="4" width="24.25" style="2" bestFit="1" customWidth="1"/>
    <col min="5" max="5" width="25.875" style="3" bestFit="1" customWidth="1"/>
    <col min="6" max="6" width="10.875" style="2" bestFit="1" customWidth="1"/>
    <col min="7" max="7" width="12.5" style="2" bestFit="1" customWidth="1"/>
    <col min="8" max="8" width="34.125" style="2" bestFit="1" customWidth="1"/>
    <col min="9" max="9" width="64.75" style="2" customWidth="1"/>
    <col min="10" max="16384" width="8.75" style="2"/>
  </cols>
  <sheetData>
    <row r="1" spans="1:9" s="1" customFormat="1" ht="15" x14ac:dyDescent="0.15">
      <c r="A1" s="4" t="s">
        <v>18</v>
      </c>
      <c r="B1" s="4" t="s">
        <v>19</v>
      </c>
      <c r="C1" s="4" t="s">
        <v>14</v>
      </c>
      <c r="D1" s="4" t="s">
        <v>21</v>
      </c>
      <c r="E1" s="5" t="s">
        <v>20</v>
      </c>
      <c r="F1" s="4" t="s">
        <v>0</v>
      </c>
      <c r="G1" s="4" t="s">
        <v>33</v>
      </c>
      <c r="H1" s="4" t="s">
        <v>22</v>
      </c>
      <c r="I1" s="4" t="s">
        <v>1</v>
      </c>
    </row>
    <row r="2" spans="1:9" s="8" customFormat="1" x14ac:dyDescent="0.15">
      <c r="A2" s="6">
        <v>1</v>
      </c>
      <c r="B2" s="6" t="s">
        <v>12</v>
      </c>
      <c r="C2" s="6" t="s">
        <v>15</v>
      </c>
      <c r="D2" s="6">
        <f>E2+1</f>
        <v>101</v>
      </c>
      <c r="E2" s="7">
        <f>INT(VALUE(RIGHT(B2,5))/10)*16+MOD(VALUE(RIGHT(B2,5)),10)</f>
        <v>100</v>
      </c>
      <c r="F2" s="6" t="s">
        <v>2</v>
      </c>
      <c r="G2" s="6" t="s">
        <v>31</v>
      </c>
      <c r="H2" s="6" t="s">
        <v>24</v>
      </c>
      <c r="I2" s="6" t="s">
        <v>25</v>
      </c>
    </row>
    <row r="3" spans="1:9" s="8" customFormat="1" x14ac:dyDescent="0.15">
      <c r="A3" s="6">
        <v>2</v>
      </c>
      <c r="B3" s="6" t="s">
        <v>13</v>
      </c>
      <c r="C3" s="6" t="s">
        <v>15</v>
      </c>
      <c r="D3" s="6">
        <f t="shared" ref="D3:D15" si="0">E3+1</f>
        <v>102</v>
      </c>
      <c r="E3" s="7">
        <f>INT(VALUE(RIGHT(B3,5))/10)*16+MOD(VALUE(RIGHT(B3,5)),10)</f>
        <v>101</v>
      </c>
      <c r="F3" s="6" t="s">
        <v>2</v>
      </c>
      <c r="G3" s="6" t="s">
        <v>31</v>
      </c>
      <c r="H3" s="6" t="s">
        <v>23</v>
      </c>
      <c r="I3" s="6" t="s">
        <v>25</v>
      </c>
    </row>
    <row r="4" spans="1:9" s="8" customFormat="1" x14ac:dyDescent="0.15">
      <c r="A4" s="6">
        <v>3</v>
      </c>
      <c r="B4" s="6" t="s">
        <v>9</v>
      </c>
      <c r="C4" s="6" t="s">
        <v>15</v>
      </c>
      <c r="D4" s="6">
        <f t="shared" si="0"/>
        <v>161</v>
      </c>
      <c r="E4" s="7">
        <f>INT(VALUE(RIGHT(B4,5))/10)*16+MOD(VALUE(RIGHT(B4,5)),10)</f>
        <v>160</v>
      </c>
      <c r="F4" s="6" t="s">
        <v>2</v>
      </c>
      <c r="G4" s="6" t="s">
        <v>31</v>
      </c>
      <c r="H4" s="6" t="s">
        <v>40</v>
      </c>
      <c r="I4" s="9" t="s">
        <v>45</v>
      </c>
    </row>
    <row r="5" spans="1:9" s="8" customFormat="1" ht="40.5" x14ac:dyDescent="0.15">
      <c r="A5" s="6">
        <v>4</v>
      </c>
      <c r="B5" s="6" t="s">
        <v>3</v>
      </c>
      <c r="C5" s="6" t="s">
        <v>15</v>
      </c>
      <c r="D5" s="6">
        <f t="shared" si="0"/>
        <v>162</v>
      </c>
      <c r="E5" s="7">
        <f>INT(VALUE(RIGHT(B5,5))/10)*16+MOD(VALUE(RIGHT(B5,5)),10)</f>
        <v>161</v>
      </c>
      <c r="F5" s="6" t="s">
        <v>2</v>
      </c>
      <c r="G5" s="6" t="s">
        <v>31</v>
      </c>
      <c r="H5" s="6" t="s">
        <v>41</v>
      </c>
      <c r="I5" s="9" t="s">
        <v>44</v>
      </c>
    </row>
    <row r="6" spans="1:9" s="8" customFormat="1" x14ac:dyDescent="0.15">
      <c r="A6" s="6">
        <v>5</v>
      </c>
      <c r="B6" s="6" t="s">
        <v>4</v>
      </c>
      <c r="C6" s="6" t="s">
        <v>15</v>
      </c>
      <c r="D6" s="6">
        <f t="shared" si="0"/>
        <v>163</v>
      </c>
      <c r="E6" s="7">
        <f>INT(VALUE(RIGHT(B6,5))/10)*16+MOD(VALUE(RIGHT(B6,5)),10)</f>
        <v>162</v>
      </c>
      <c r="F6" s="6" t="s">
        <v>2</v>
      </c>
      <c r="G6" s="6" t="s">
        <v>31</v>
      </c>
      <c r="H6" s="6" t="s">
        <v>47</v>
      </c>
      <c r="I6" s="6"/>
    </row>
    <row r="7" spans="1:9" s="12" customFormat="1" x14ac:dyDescent="0.15">
      <c r="A7" s="10">
        <v>6</v>
      </c>
      <c r="B7" s="10" t="s">
        <v>7</v>
      </c>
      <c r="C7" s="10" t="s">
        <v>15</v>
      </c>
      <c r="D7" s="10">
        <f t="shared" si="0"/>
        <v>89</v>
      </c>
      <c r="E7" s="11">
        <f>INT(VALUE(RIGHT(B7,5))/10)*16+MOD(VALUE(RIGHT(B7,5)),10)</f>
        <v>88</v>
      </c>
      <c r="F7" s="10" t="s">
        <v>2</v>
      </c>
      <c r="G7" s="10" t="s">
        <v>32</v>
      </c>
      <c r="H7" s="10" t="s">
        <v>36</v>
      </c>
      <c r="I7" s="10" t="s">
        <v>26</v>
      </c>
    </row>
    <row r="8" spans="1:9" s="12" customFormat="1" x14ac:dyDescent="0.15">
      <c r="A8" s="10">
        <v>7</v>
      </c>
      <c r="B8" s="10" t="s">
        <v>5</v>
      </c>
      <c r="C8" s="10" t="s">
        <v>15</v>
      </c>
      <c r="D8" s="10">
        <f t="shared" si="0"/>
        <v>84</v>
      </c>
      <c r="E8" s="11">
        <f t="shared" ref="E8:E15" si="1">INT(VALUE(RIGHT(B8,5))/10)*16+MOD(VALUE(RIGHT(B8,5)),10)</f>
        <v>83</v>
      </c>
      <c r="F8" s="10" t="s">
        <v>2</v>
      </c>
      <c r="G8" s="10" t="s">
        <v>32</v>
      </c>
      <c r="H8" s="10" t="s">
        <v>37</v>
      </c>
      <c r="I8" s="10" t="s">
        <v>30</v>
      </c>
    </row>
    <row r="9" spans="1:9" s="12" customFormat="1" x14ac:dyDescent="0.15">
      <c r="A9" s="10">
        <v>8</v>
      </c>
      <c r="B9" s="10" t="s">
        <v>6</v>
      </c>
      <c r="C9" s="10" t="s">
        <v>15</v>
      </c>
      <c r="D9" s="10">
        <f t="shared" si="0"/>
        <v>86</v>
      </c>
      <c r="E9" s="11">
        <f t="shared" si="1"/>
        <v>85</v>
      </c>
      <c r="F9" s="10" t="s">
        <v>2</v>
      </c>
      <c r="G9" s="10" t="s">
        <v>32</v>
      </c>
      <c r="H9" s="10" t="s">
        <v>38</v>
      </c>
      <c r="I9" s="10" t="s">
        <v>30</v>
      </c>
    </row>
    <row r="10" spans="1:9" s="12" customFormat="1" x14ac:dyDescent="0.15">
      <c r="A10" s="10">
        <v>9</v>
      </c>
      <c r="B10" s="10" t="s">
        <v>8</v>
      </c>
      <c r="C10" s="10" t="s">
        <v>15</v>
      </c>
      <c r="D10" s="10">
        <f t="shared" si="0"/>
        <v>88</v>
      </c>
      <c r="E10" s="11">
        <f t="shared" si="1"/>
        <v>87</v>
      </c>
      <c r="F10" s="10" t="s">
        <v>2</v>
      </c>
      <c r="G10" s="10" t="s">
        <v>32</v>
      </c>
      <c r="H10" s="10" t="s">
        <v>39</v>
      </c>
      <c r="I10" s="10" t="s">
        <v>30</v>
      </c>
    </row>
    <row r="11" spans="1:9" s="12" customFormat="1" x14ac:dyDescent="0.15">
      <c r="A11" s="10">
        <v>10</v>
      </c>
      <c r="B11" s="10" t="s">
        <v>10</v>
      </c>
      <c r="C11" s="10" t="s">
        <v>15</v>
      </c>
      <c r="D11" s="10">
        <f t="shared" si="0"/>
        <v>98</v>
      </c>
      <c r="E11" s="11">
        <f t="shared" si="1"/>
        <v>97</v>
      </c>
      <c r="F11" s="10" t="s">
        <v>2</v>
      </c>
      <c r="G11" s="10" t="s">
        <v>32</v>
      </c>
      <c r="H11" s="10" t="s">
        <v>27</v>
      </c>
      <c r="I11" s="10" t="s">
        <v>25</v>
      </c>
    </row>
    <row r="12" spans="1:9" s="12" customFormat="1" x14ac:dyDescent="0.15">
      <c r="A12" s="10">
        <v>11</v>
      </c>
      <c r="B12" s="10" t="s">
        <v>11</v>
      </c>
      <c r="C12" s="10" t="s">
        <v>15</v>
      </c>
      <c r="D12" s="10">
        <f t="shared" si="0"/>
        <v>100</v>
      </c>
      <c r="E12" s="11">
        <f t="shared" si="1"/>
        <v>99</v>
      </c>
      <c r="F12" s="10" t="s">
        <v>2</v>
      </c>
      <c r="G12" s="10" t="s">
        <v>32</v>
      </c>
      <c r="H12" s="10" t="s">
        <v>28</v>
      </c>
      <c r="I12" s="10" t="s">
        <v>25</v>
      </c>
    </row>
    <row r="13" spans="1:9" s="12" customFormat="1" x14ac:dyDescent="0.15">
      <c r="A13" s="10">
        <v>12</v>
      </c>
      <c r="B13" s="10" t="s">
        <v>16</v>
      </c>
      <c r="C13" s="10" t="s">
        <v>15</v>
      </c>
      <c r="D13" s="10">
        <f t="shared" si="0"/>
        <v>105</v>
      </c>
      <c r="E13" s="11">
        <f t="shared" si="1"/>
        <v>104</v>
      </c>
      <c r="F13" s="10" t="s">
        <v>2</v>
      </c>
      <c r="G13" s="10" t="s">
        <v>32</v>
      </c>
      <c r="H13" s="10" t="s">
        <v>46</v>
      </c>
      <c r="I13" s="10" t="s">
        <v>29</v>
      </c>
    </row>
    <row r="14" spans="1:9" s="12" customFormat="1" x14ac:dyDescent="0.15">
      <c r="A14" s="10">
        <v>13</v>
      </c>
      <c r="B14" s="10" t="s">
        <v>17</v>
      </c>
      <c r="C14" s="10" t="s">
        <v>15</v>
      </c>
      <c r="D14" s="10">
        <f t="shared" si="0"/>
        <v>106</v>
      </c>
      <c r="E14" s="11">
        <f t="shared" si="1"/>
        <v>105</v>
      </c>
      <c r="F14" s="10" t="s">
        <v>2</v>
      </c>
      <c r="G14" s="10" t="s">
        <v>32</v>
      </c>
      <c r="H14" s="10" t="s">
        <v>34</v>
      </c>
      <c r="I14" s="10" t="s">
        <v>35</v>
      </c>
    </row>
    <row r="15" spans="1:9" s="12" customFormat="1" x14ac:dyDescent="0.15">
      <c r="A15" s="10">
        <v>14</v>
      </c>
      <c r="B15" s="10" t="s">
        <v>48</v>
      </c>
      <c r="C15" s="10" t="s">
        <v>15</v>
      </c>
      <c r="D15" s="10">
        <f t="shared" si="0"/>
        <v>113</v>
      </c>
      <c r="E15" s="11">
        <f t="shared" si="1"/>
        <v>112</v>
      </c>
      <c r="F15" s="10" t="s">
        <v>2</v>
      </c>
      <c r="G15" s="10" t="s">
        <v>32</v>
      </c>
      <c r="H15" s="10" t="s">
        <v>42</v>
      </c>
      <c r="I15" s="10" t="s">
        <v>43</v>
      </c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260130 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JISEOB KIM</dc:creator>
  <cp:lastModifiedBy>JISEOB KIM</cp:lastModifiedBy>
  <dcterms:created xsi:type="dcterms:W3CDTF">2026-01-30T00:59:53Z</dcterms:created>
  <dcterms:modified xsi:type="dcterms:W3CDTF">2026-05-18T08:14:02Z</dcterms:modified>
</cp:coreProperties>
</file>