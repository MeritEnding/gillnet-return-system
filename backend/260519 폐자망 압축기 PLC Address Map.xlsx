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카카오워크 받은 파일\"/>
    </mc:Choice>
  </mc:AlternateContent>
  <xr:revisionPtr revIDLastSave="0" documentId="13_ncr:1_{7DB5C736-3581-4538-8E54-D96308506C3E}" xr6:coauthVersionLast="47" xr6:coauthVersionMax="47" xr10:uidLastSave="{00000000-0000-0000-0000-000000000000}"/>
  <bookViews>
    <workbookView xWindow="-110" yWindow="-110" windowWidth="25820" windowHeight="15500" xr2:uid="{AAB11989-78A1-4E1B-8920-79B5F909747F}"/>
  </bookViews>
  <sheets>
    <sheet name="260130 pl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D5" i="2" s="1"/>
  <c r="E4" i="2"/>
  <c r="D4" i="2" s="1"/>
  <c r="E3" i="2"/>
  <c r="D3" i="2" s="1"/>
  <c r="E2" i="2"/>
  <c r="D2" i="2" s="1"/>
</calcChain>
</file>

<file path=xl/sharedStrings.xml><?xml version="1.0" encoding="utf-8"?>
<sst xmlns="http://schemas.openxmlformats.org/spreadsheetml/2006/main" count="33" uniqueCount="24">
  <si>
    <t>DataType</t>
  </si>
  <si>
    <t>Comment</t>
  </si>
  <si>
    <t>BIT</t>
  </si>
  <si>
    <t>M00101</t>
  </si>
  <si>
    <t>M00102</t>
  </si>
  <si>
    <t>M00100</t>
  </si>
  <si>
    <t>Modbus Type</t>
  </si>
  <si>
    <t>0x (Coil)</t>
  </si>
  <si>
    <t>Index</t>
  </si>
  <si>
    <t>PLC Address</t>
  </si>
  <si>
    <t>Modbus Address for PC (0base)</t>
  </si>
  <si>
    <t>Modbus Address (1base)</t>
  </si>
  <si>
    <t>Desc.</t>
  </si>
  <si>
    <t>제어</t>
  </si>
  <si>
    <t>알림</t>
  </si>
  <si>
    <t>MessageType</t>
  </si>
  <si>
    <t>압축기 동작 완료 (1 사이클 동작 완료)</t>
  </si>
  <si>
    <t>완료 1, 대기 0</t>
  </si>
  <si>
    <t>M00070</t>
  </si>
  <si>
    <t>유압모드 ON</t>
  </si>
  <si>
    <t>압축기 동작명령</t>
  </si>
  <si>
    <t>유압모드 OFF</t>
  </si>
  <si>
    <t>실린더가 상승 했다가 약 1초후 하강하는 1회 사이클 동작</t>
  </si>
  <si>
    <t>구동시 1로 설정 후 일정 시간(약 100ms) 후 다시 0으로 설정해야 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</si>
</sst>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1"/>
      <name val="맑은 고딕"/>
      <family val="2"/>
      <scheme val="minor"/>
    </font>
    <font>
      <b/>
      <sz val="11"/>
      <color rgb="FFC00000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18" fillId="33" borderId="10" xfId="0" applyFont="1" applyFill="1" applyBorder="1" applyAlignment="1">
      <alignment vertical="center"/>
    </xf>
    <xf numFmtId="0" fontId="19" fillId="33" borderId="10" xfId="0" applyFont="1" applyFill="1" applyBorder="1" applyAlignment="1">
      <alignment vertical="center"/>
    </xf>
    <xf numFmtId="0" fontId="18" fillId="33" borderId="0" xfId="0" applyFont="1" applyFill="1" applyAlignment="1">
      <alignment vertical="center"/>
    </xf>
    <xf numFmtId="0" fontId="18" fillId="33" borderId="10" xfId="0" quotePrefix="1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/>
    </xf>
    <xf numFmtId="0" fontId="19" fillId="34" borderId="10" xfId="0" applyFont="1" applyFill="1" applyBorder="1" applyAlignment="1">
      <alignment vertical="center"/>
    </xf>
    <xf numFmtId="0" fontId="18" fillId="34" borderId="0" xfId="0" applyFont="1" applyFill="1" applyAlignment="1">
      <alignment vertical="center"/>
    </xf>
    <xf numFmtId="0" fontId="18" fillId="33" borderId="10" xfId="0" quotePrefix="1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06D7-FF76-4F04-BE94-E2359086974B}">
  <dimension ref="A1:I5"/>
  <sheetViews>
    <sheetView tabSelected="1" zoomScaleNormal="100" workbookViewId="0">
      <selection activeCell="I18" sqref="I18"/>
    </sheetView>
  </sheetViews>
  <sheetFormatPr defaultColWidth="8.75" defaultRowHeight="17"/>
  <cols>
    <col min="1" max="1" width="8.75" style="2"/>
    <col min="2" max="2" width="12.58203125" style="2" bestFit="1" customWidth="1"/>
    <col min="3" max="3" width="13.08203125" style="2" bestFit="1" customWidth="1"/>
    <col min="4" max="4" width="24.25" style="2" bestFit="1" customWidth="1"/>
    <col min="5" max="5" width="25.83203125" style="3" bestFit="1" customWidth="1"/>
    <col min="6" max="6" width="10.83203125" style="2" bestFit="1" customWidth="1"/>
    <col min="7" max="7" width="12.5" style="2" bestFit="1" customWidth="1"/>
    <col min="8" max="8" width="34.08203125" style="2" bestFit="1" customWidth="1"/>
    <col min="9" max="9" width="64.75" style="2" customWidth="1"/>
    <col min="10" max="16384" width="8.75" style="2"/>
  </cols>
  <sheetData>
    <row r="1" spans="1:9" s="1" customFormat="1">
      <c r="A1" s="4" t="s">
        <v>8</v>
      </c>
      <c r="B1" s="4" t="s">
        <v>9</v>
      </c>
      <c r="C1" s="4" t="s">
        <v>6</v>
      </c>
      <c r="D1" s="4" t="s">
        <v>11</v>
      </c>
      <c r="E1" s="5" t="s">
        <v>10</v>
      </c>
      <c r="F1" s="4" t="s">
        <v>0</v>
      </c>
      <c r="G1" s="4" t="s">
        <v>15</v>
      </c>
      <c r="H1" s="4" t="s">
        <v>12</v>
      </c>
      <c r="I1" s="4" t="s">
        <v>1</v>
      </c>
    </row>
    <row r="2" spans="1:9" s="8" customFormat="1">
      <c r="A2" s="6">
        <v>1</v>
      </c>
      <c r="B2" s="6" t="s">
        <v>5</v>
      </c>
      <c r="C2" s="6" t="s">
        <v>7</v>
      </c>
      <c r="D2" s="6">
        <f t="shared" ref="D2:D4" si="0">E2+1</f>
        <v>161</v>
      </c>
      <c r="E2" s="7">
        <f t="shared" ref="E2:E4" si="1">INT(VALUE(RIGHT(B2,5))/10)*16+MOD(VALUE(RIGHT(B2,5)),10)</f>
        <v>160</v>
      </c>
      <c r="F2" s="6" t="s">
        <v>2</v>
      </c>
      <c r="G2" s="6" t="s">
        <v>13</v>
      </c>
      <c r="H2" s="6" t="s">
        <v>19</v>
      </c>
      <c r="I2" s="9" t="s">
        <v>23</v>
      </c>
    </row>
    <row r="3" spans="1:9" s="8" customFormat="1">
      <c r="A3" s="6">
        <v>2</v>
      </c>
      <c r="B3" s="6" t="s">
        <v>3</v>
      </c>
      <c r="C3" s="6" t="s">
        <v>7</v>
      </c>
      <c r="D3" s="6">
        <f t="shared" si="0"/>
        <v>162</v>
      </c>
      <c r="E3" s="7">
        <f t="shared" si="1"/>
        <v>161</v>
      </c>
      <c r="F3" s="6" t="s">
        <v>2</v>
      </c>
      <c r="G3" s="6" t="s">
        <v>13</v>
      </c>
      <c r="H3" s="6" t="s">
        <v>21</v>
      </c>
      <c r="I3" s="9" t="s">
        <v>23</v>
      </c>
    </row>
    <row r="4" spans="1:9" s="8" customFormat="1">
      <c r="A4" s="6">
        <v>3</v>
      </c>
      <c r="B4" s="6" t="s">
        <v>4</v>
      </c>
      <c r="C4" s="6" t="s">
        <v>7</v>
      </c>
      <c r="D4" s="6">
        <f t="shared" si="0"/>
        <v>163</v>
      </c>
      <c r="E4" s="7">
        <f t="shared" si="1"/>
        <v>162</v>
      </c>
      <c r="F4" s="6" t="s">
        <v>2</v>
      </c>
      <c r="G4" s="6" t="s">
        <v>13</v>
      </c>
      <c r="H4" s="6" t="s">
        <v>20</v>
      </c>
      <c r="I4" s="13" t="s">
        <v>22</v>
      </c>
    </row>
    <row r="5" spans="1:9" s="12" customFormat="1">
      <c r="A5" s="10">
        <v>4</v>
      </c>
      <c r="B5" s="10" t="s">
        <v>18</v>
      </c>
      <c r="C5" s="10" t="s">
        <v>7</v>
      </c>
      <c r="D5" s="10">
        <f>E5+1</f>
        <v>113</v>
      </c>
      <c r="E5" s="11">
        <f t="shared" ref="E5" si="2">INT(VALUE(RIGHT(B5,5))/10)*16+MOD(VALUE(RIGHT(B5,5)),10)</f>
        <v>112</v>
      </c>
      <c r="F5" s="10" t="s">
        <v>2</v>
      </c>
      <c r="G5" s="10" t="s">
        <v>14</v>
      </c>
      <c r="H5" s="10" t="s">
        <v>16</v>
      </c>
      <c r="I5" s="10" t="s">
        <v>17</v>
      </c>
    </row>
  </sheetData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260130 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JISEOB KIM</dc:creator>
  <cp:lastModifiedBy>이정훈</cp:lastModifiedBy>
  <dcterms:created xsi:type="dcterms:W3CDTF">2026-01-30T00:59:53Z</dcterms:created>
  <dcterms:modified xsi:type="dcterms:W3CDTF">2026-05-19T08:01:17Z</dcterms:modified>
</cp:coreProperties>
</file>